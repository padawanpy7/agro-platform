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 tabRatio="500"/>
  </bookViews>
  <sheets>
    <sheet name="BCOM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kove_</author>
  </authors>
  <commentList>
    <comment ref="E3" authorId="0">
      <text>
        <r>
          <rPr>
            <sz val="10"/>
            <rFont val="Arial"/>
            <charset val="134"/>
          </rPr>
          <t xml:space="preserve">kove_:
</t>
        </r>
        <r>
          <rPr>
            <sz val="9"/>
            <rFont val="Times New Roman"/>
            <charset val="134"/>
          </rPr>
          <t xml:space="preserve">Valor del peso
</t>
        </r>
      </text>
    </comment>
    <comment ref="F3" authorId="0">
      <text>
        <r>
          <rPr>
            <sz val="10"/>
            <rFont val="Arial"/>
            <charset val="134"/>
          </rPr>
          <t xml:space="preserve">kove_:
</t>
        </r>
        <r>
          <rPr>
            <sz val="9"/>
            <rFont val="Times New Roman"/>
            <charset val="134"/>
          </rPr>
          <t xml:space="preserve">Total de minutos
</t>
        </r>
      </text>
    </comment>
    <comment ref="G3" authorId="0">
      <text>
        <r>
          <rPr>
            <sz val="10"/>
            <rFont val="Arial"/>
            <charset val="134"/>
          </rPr>
          <t xml:space="preserve">kove_:
</t>
        </r>
        <r>
          <rPr>
            <sz val="9"/>
            <rFont val="Times New Roman"/>
            <charset val="134"/>
          </rPr>
          <t xml:space="preserve">Total en horas
</t>
        </r>
      </text>
    </comment>
    <comment ref="H3" authorId="0">
      <text>
        <r>
          <rPr>
            <sz val="10"/>
            <rFont val="Arial"/>
            <charset val="134"/>
          </rPr>
          <t xml:space="preserve">kove_:
</t>
        </r>
        <r>
          <rPr>
            <sz val="9"/>
            <rFont val="Times New Roman"/>
            <charset val="134"/>
          </rPr>
          <t xml:space="preserve">Días totales
</t>
        </r>
      </text>
    </comment>
    <comment ref="I3" authorId="0">
      <text>
        <r>
          <rPr>
            <sz val="10"/>
            <rFont val="Arial"/>
            <charset val="134"/>
          </rPr>
          <t xml:space="preserve">kove_:
</t>
        </r>
        <r>
          <rPr>
            <sz val="9"/>
            <rFont val="Times New Roman"/>
            <charset val="134"/>
          </rPr>
          <t xml:space="preserve">Días estimados
</t>
        </r>
      </text>
    </comment>
  </commentList>
</comments>
</file>

<file path=xl/sharedStrings.xml><?xml version="1.0" encoding="utf-8"?>
<sst xmlns="http://schemas.openxmlformats.org/spreadsheetml/2006/main" count="23" uniqueCount="23">
  <si>
    <t>Jira:</t>
  </si>
  <si>
    <t>ICC-91</t>
  </si>
  <si>
    <t>Proyecto:</t>
  </si>
  <si>
    <t>IN26132 - Modulo de configuración productos minoristas</t>
  </si>
  <si>
    <t xml:space="preserve">TAREA </t>
  </si>
  <si>
    <t>Descripción</t>
  </si>
  <si>
    <t>PESO</t>
  </si>
  <si>
    <t>TIEMPO</t>
  </si>
  <si>
    <t>HORAS</t>
  </si>
  <si>
    <t>INICIO</t>
  </si>
  <si>
    <t>FIN</t>
  </si>
  <si>
    <t>ENTREGA</t>
  </si>
  <si>
    <t>Horas desarrollo:</t>
  </si>
  <si>
    <t>Adaptación de la funcionalidad de Gestión de Productos e integración con las nuevas opciones del Portal Minorista</t>
  </si>
  <si>
    <t>Adecuar la funcionalidad existente incorporando las configuraciones, navegación, procesos y parámetros necesarios para habilitar las nuevas opciones del Portal Minorista, garantizando la integración con la lógica existente.</t>
  </si>
  <si>
    <t>Adecuación de la funcionalidad para la administración de Calificación Variable</t>
  </si>
  <si>
    <t>Desarrollar la funcionalidad para la consulta, alta y almacenamiento de los registros de Calificación Variable, incorporando la lógica necesaria para la persistencia de la información y su integración con la gestión de productos.</t>
  </si>
  <si>
    <t>Implementación de validaciones y reglas de negocio para Calificación Variable</t>
  </si>
  <si>
    <t>Desarrollar la funcionalidad de modificación de registros existentes, incorporando las validaciones funcionales, controles de vigencia, consistencia de datos y reglas de negocio requeridas para la administración de Calificación Variable.</t>
  </si>
  <si>
    <t>Adecuación de la funcionalidad para la administración de Tasa Cartera Activa</t>
  </si>
  <si>
    <t>Desarrollar la funcionalidad para la consulta, alta y almacenamiento de los registros de Tasa Cartera Activa, incorporando la lógica necesaria para la persistencia de la información y su integración con las funcionalidades existentes del sistema.</t>
  </si>
  <si>
    <t>mplementación de validaciones y reglas de negocio para Tasa Cartera Activa</t>
  </si>
  <si>
    <t>Desarrollar la funcionalidad de modificación de registros existentes, incorporando las validaciones funcionales, manejo de vigencias, controles de consistencia y reglas de negocio necesarias para la administración de Tasa Cartera Activa.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</si>
</sst>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9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399639881588183"/>
        <bgColor rgb="FFC5E0B4"/>
      </patternFill>
    </fill>
    <fill>
      <patternFill patternType="solid">
        <fgColor theme="9" tint="0.799645985290078"/>
        <bgColor rgb="FFFFFFCC"/>
      </patternFill>
    </fill>
    <fill>
      <patternFill patternType="solid">
        <fgColor rgb="FFC6E0B4"/>
        <bgColor rgb="FFA9D18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6" fontId="0" fillId="0" borderId="1" xfId="0" applyNumberFormat="1" applyBorder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9D18E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5E0B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90" zoomScaleNormal="90" workbookViewId="0">
      <selection activeCell="B2" sqref="B2"/>
    </sheetView>
  </sheetViews>
  <sheetFormatPr defaultColWidth="9.12962962962963" defaultRowHeight="14.4"/>
  <cols>
    <col min="1" max="1" width="68.3796296296296" customWidth="1"/>
    <col min="2" max="2" width="133.12962962963" style="1" customWidth="1"/>
    <col min="3" max="3" width="5.37962962962963" style="1" customWidth="1"/>
    <col min="4" max="4" width="6.12962962962963" customWidth="1"/>
    <col min="5" max="5" width="10.1296296296296" customWidth="1"/>
    <col min="6" max="6" width="12.8796296296296" customWidth="1"/>
    <col min="7" max="7" width="9.37962962962963" customWidth="1"/>
    <col min="8" max="8" width="10.25" customWidth="1"/>
    <col min="9" max="9" width="9.87962962962963" customWidth="1"/>
  </cols>
  <sheetData>
    <row r="1" spans="1:9">
      <c r="A1" s="2" t="s">
        <v>0</v>
      </c>
      <c r="B1" s="3" t="s">
        <v>1</v>
      </c>
    </row>
    <row r="2" spans="1:9">
      <c r="A2" s="2" t="s">
        <v>2</v>
      </c>
      <c r="B2" s="2" t="s">
        <v>3</v>
      </c>
    </row>
    <row r="3" spans="1:9">
      <c r="A3" s="4" t="s">
        <v>4</v>
      </c>
      <c r="B3" s="4" t="s">
        <v>5</v>
      </c>
      <c r="C3" s="5" t="s">
        <v>6</v>
      </c>
      <c r="D3" s="5" t="s">
        <v>7</v>
      </c>
      <c r="E3" s="6">
        <v>15</v>
      </c>
      <c r="F3" s="6">
        <f>SUM(D6:D10)</f>
        <v>2550</v>
      </c>
      <c r="G3" s="6">
        <f>F3/60</f>
        <v>42.5</v>
      </c>
      <c r="H3" s="6">
        <f>G3/5</f>
        <v>8.5</v>
      </c>
      <c r="I3" s="6">
        <f>ROUNDUP(H3,0)</f>
        <v>9</v>
      </c>
    </row>
    <row r="4" spans="1:9">
      <c r="A4" s="7"/>
      <c r="B4" s="8">
        <v>480</v>
      </c>
      <c r="C4" s="9"/>
      <c r="D4" s="10"/>
      <c r="E4" s="10" t="s">
        <v>8</v>
      </c>
      <c r="F4" s="10" t="s">
        <v>9</v>
      </c>
      <c r="G4" s="10" t="s">
        <v>10</v>
      </c>
      <c r="H4" s="10" t="s">
        <v>11</v>
      </c>
      <c r="I4" s="10"/>
    </row>
    <row r="5" spans="1:9">
      <c r="A5" s="11" t="s">
        <v>12</v>
      </c>
      <c r="B5" s="12"/>
      <c r="C5" s="13"/>
      <c r="D5" s="14"/>
      <c r="E5" s="14"/>
      <c r="F5" s="14"/>
      <c r="G5" s="14"/>
      <c r="H5" s="15"/>
      <c r="I5" s="10"/>
    </row>
    <row r="6" ht="28.8" spans="1:9">
      <c r="A6" s="12" t="s">
        <v>13</v>
      </c>
      <c r="B6" s="12" t="s">
        <v>14</v>
      </c>
      <c r="C6" s="16">
        <v>34</v>
      </c>
      <c r="D6" s="16">
        <f>C6*$E$3</f>
        <v>510</v>
      </c>
      <c r="E6" s="16">
        <f>D6/60</f>
        <v>8.5</v>
      </c>
      <c r="F6" s="17">
        <v>46226</v>
      </c>
      <c r="G6" s="17">
        <v>46226</v>
      </c>
      <c r="H6" s="17">
        <v>46226</v>
      </c>
    </row>
    <row r="7" ht="28.8" spans="1:9">
      <c r="A7" s="16" t="s">
        <v>15</v>
      </c>
      <c r="B7" s="12" t="s">
        <v>16</v>
      </c>
      <c r="C7" s="16">
        <v>34</v>
      </c>
      <c r="D7" s="16">
        <f>C7*$E$3</f>
        <v>510</v>
      </c>
      <c r="E7" s="16">
        <f>D7/60</f>
        <v>8.5</v>
      </c>
      <c r="F7" s="17">
        <v>46227</v>
      </c>
      <c r="G7" s="17">
        <v>46227</v>
      </c>
      <c r="H7" s="17">
        <v>46227</v>
      </c>
    </row>
    <row r="8" ht="28.8" spans="1:9">
      <c r="A8" s="16" t="s">
        <v>17</v>
      </c>
      <c r="B8" s="12" t="s">
        <v>18</v>
      </c>
      <c r="C8" s="16">
        <v>34</v>
      </c>
      <c r="D8" s="16">
        <f>C8*$E$3</f>
        <v>510</v>
      </c>
      <c r="E8" s="16">
        <f>D8/60</f>
        <v>8.5</v>
      </c>
      <c r="F8" s="17">
        <v>46230</v>
      </c>
      <c r="G8" s="17">
        <v>46230</v>
      </c>
      <c r="H8" s="17">
        <v>46230</v>
      </c>
    </row>
    <row r="9" ht="28.8" spans="1:9">
      <c r="A9" s="16" t="s">
        <v>19</v>
      </c>
      <c r="B9" s="12" t="s">
        <v>20</v>
      </c>
      <c r="C9" s="16">
        <v>34</v>
      </c>
      <c r="D9" s="16">
        <f>C9*$E$3</f>
        <v>510</v>
      </c>
      <c r="E9" s="16">
        <f>D9/60</f>
        <v>8.5</v>
      </c>
      <c r="F9" s="17">
        <v>46231</v>
      </c>
      <c r="G9" s="17">
        <v>46231</v>
      </c>
      <c r="H9" s="17">
        <v>46231</v>
      </c>
    </row>
    <row r="10" ht="28.8" spans="1:9">
      <c r="A10" s="16" t="s">
        <v>21</v>
      </c>
      <c r="B10" s="12" t="s">
        <v>22</v>
      </c>
      <c r="C10" s="16">
        <v>34</v>
      </c>
      <c r="D10" s="16">
        <f>C10*$E$3</f>
        <v>510</v>
      </c>
      <c r="E10" s="16">
        <f>D10/60</f>
        <v>8.5</v>
      </c>
      <c r="F10" s="17">
        <v>46232</v>
      </c>
      <c r="G10" s="17">
        <v>46232</v>
      </c>
      <c r="H10" s="17">
        <v>46232</v>
      </c>
    </row>
  </sheetData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BCOM-30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kove_</dc:creator>
  <cp:lastModifiedBy>ian.delvalle</cp:lastModifiedBy>
  <cp:revision>4</cp:revision>
  <dcterms:created xsi:type="dcterms:W3CDTF">2022-04-19T21:08:00Z</dcterms:created>
  <dcterms:modified xsi:type="dcterms:W3CDTF">2026-07-22T18:02:25Z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ED810BFDE3EE40BCB1EC154E953953C5_13</vt:lpwstr>
  </property>
  <property fmtid="{D5CDD505-2E9C-101B-9397-08002B2CF9AE}" pid="4" name="KSOProductBuildVer">
    <vt:lpwstr>2058-12.1.0.26880</vt:lpwstr>
  </property>
</Properties>
</file>